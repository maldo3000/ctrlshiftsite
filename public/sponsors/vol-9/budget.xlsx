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ol 9 Budget A (archived)" sheetId="1" r:id="rId5"/>
    <sheet state="visible" name="Vol 9 Budget - CONSOLIDATED" sheetId="2" r:id="rId6"/>
    <sheet state="hidden" name="Vol 9 Transactions" sheetId="3" r:id="rId7"/>
  </sheets>
  <definedNames/>
  <calcPr/>
</workbook>
</file>

<file path=xl/sharedStrings.xml><?xml version="1.0" encoding="utf-8"?>
<sst xmlns="http://schemas.openxmlformats.org/spreadsheetml/2006/main" count="239" uniqueCount="124">
  <si>
    <t>CTRL SHIFT Volume 9 Budget (Updated Draft)</t>
  </si>
  <si>
    <t>Venue</t>
  </si>
  <si>
    <t>Venue rental</t>
  </si>
  <si>
    <t>New Stadium</t>
  </si>
  <si>
    <t>Production</t>
  </si>
  <si>
    <t>AV system</t>
  </si>
  <si>
    <t>New Stadium covers</t>
  </si>
  <si>
    <t>Category</t>
  </si>
  <si>
    <t>Item</t>
  </si>
  <si>
    <t>Vendor / Notes</t>
  </si>
  <si>
    <t>Low (CAD)</t>
  </si>
  <si>
    <t>High (CAD)</t>
  </si>
  <si>
    <t>Admin</t>
  </si>
  <si>
    <t>SOP fee</t>
  </si>
  <si>
    <t>Fee</t>
  </si>
  <si>
    <t>Bar</t>
  </si>
  <si>
    <t>Bartender</t>
  </si>
  <si>
    <t>Beer only, minimal setup</t>
  </si>
  <si>
    <t>Lights rental</t>
  </si>
  <si>
    <t>Long &amp; McQuade</t>
  </si>
  <si>
    <t>Content</t>
  </si>
  <si>
    <t>Camera shooter - Video</t>
  </si>
  <si>
    <t>Event coverage</t>
  </si>
  <si>
    <t>Camera shooter - Photo</t>
  </si>
  <si>
    <t>Video editor</t>
  </si>
  <si>
    <t>Recap edit</t>
  </si>
  <si>
    <t>Experience</t>
  </si>
  <si>
    <t>Installation</t>
  </si>
  <si>
    <t>Interactive install</t>
  </si>
  <si>
    <t>Marketing</t>
  </si>
  <si>
    <t>Social media ads</t>
  </si>
  <si>
    <t>Facebook/IG ads</t>
  </si>
  <si>
    <t>Poster creation</t>
  </si>
  <si>
    <t>Design + export</t>
  </si>
  <si>
    <t>Ops</t>
  </si>
  <si>
    <t>Ice + cups + misc supplies</t>
  </si>
  <si>
    <t>Ice, cups, napkins, garbage bags, tape, cords</t>
  </si>
  <si>
    <t>SUBTOTAL (Before Contingency)</t>
  </si>
  <si>
    <t>Contingency (10%)</t>
  </si>
  <si>
    <t>10% of subtotal</t>
  </si>
  <si>
    <t>TOTAL (Core Budget)</t>
  </si>
  <si>
    <t>VOL 9 - Feb 2026</t>
  </si>
  <si>
    <t>Transactions</t>
  </si>
  <si>
    <t>Consolidated</t>
  </si>
  <si>
    <t>Net</t>
  </si>
  <si>
    <t>New Stadium Fee</t>
  </si>
  <si>
    <t xml:space="preserve">New Stadium </t>
  </si>
  <si>
    <t>Shoot/Edit</t>
  </si>
  <si>
    <t>notagraphics page</t>
  </si>
  <si>
    <t>Ops + Misc</t>
  </si>
  <si>
    <t xml:space="preserve">Luma Plus </t>
  </si>
  <si>
    <t>Luma Plus</t>
  </si>
  <si>
    <t>Drinks</t>
  </si>
  <si>
    <t>Beer</t>
  </si>
  <si>
    <t>Miller Lite 30 Pack</t>
  </si>
  <si>
    <t>Food</t>
  </si>
  <si>
    <t>Popcorn Machine</t>
  </si>
  <si>
    <t>FB marketplce</t>
  </si>
  <si>
    <t>Raffle Prizes</t>
  </si>
  <si>
    <t>Non Alc Drinks</t>
  </si>
  <si>
    <t>REVENUE</t>
  </si>
  <si>
    <t>Luma Revenue</t>
  </si>
  <si>
    <t>Bar Sales</t>
  </si>
  <si>
    <t>Gross Revenue</t>
  </si>
  <si>
    <t>NET</t>
  </si>
  <si>
    <t>Date</t>
  </si>
  <si>
    <t>Time</t>
  </si>
  <si>
    <t>Card</t>
  </si>
  <si>
    <t>Description</t>
  </si>
  <si>
    <t>Transaction Type</t>
  </si>
  <si>
    <t>Currency</t>
  </si>
  <si>
    <t>Amount</t>
  </si>
  <si>
    <t>Merchant</t>
  </si>
  <si>
    <t>Memo</t>
  </si>
  <si>
    <t>Venn</t>
  </si>
  <si>
    <t>LinkedIn</t>
  </si>
  <si>
    <t>Card Payment</t>
  </si>
  <si>
    <t>CAD</t>
  </si>
  <si>
    <t>LinkedIn P828840116</t>
  </si>
  <si>
    <t>Advertising Services</t>
  </si>
  <si>
    <t>New Computer Enter</t>
  </si>
  <si>
    <t>IN *NEW COMPUTER ENTER</t>
  </si>
  <si>
    <t>Consulting, Public Relations</t>
  </si>
  <si>
    <t>FreshCo</t>
  </si>
  <si>
    <t>FRESHCO #3314</t>
  </si>
  <si>
    <t>Grocery Stores, Supermarkets</t>
  </si>
  <si>
    <t>WEVE</t>
  </si>
  <si>
    <t>WEVE SHOP</t>
  </si>
  <si>
    <t>Children’s and Infant’s Wear Stores</t>
  </si>
  <si>
    <t>LCBO</t>
  </si>
  <si>
    <t>LCBO/RAO #0003</t>
  </si>
  <si>
    <t>Package Stores-Beer, Wine, and Liquor</t>
  </si>
  <si>
    <t>Facebook</t>
  </si>
  <si>
    <t>FACEBK *6DMNMCMBA2</t>
  </si>
  <si>
    <t>Uber</t>
  </si>
  <si>
    <t>UBER CANADA/UBEREATS</t>
  </si>
  <si>
    <t>Eating Places, Restaurants</t>
  </si>
  <si>
    <t>Uber Holdings Canada I</t>
  </si>
  <si>
    <t>AGCO</t>
  </si>
  <si>
    <t>AGCO-RAS</t>
  </si>
  <si>
    <t>Government Services (Not Elsewhere Classified)</t>
  </si>
  <si>
    <t>Euan Robertson</t>
  </si>
  <si>
    <t>Outbound Transfer</t>
  </si>
  <si>
    <t>Services, Art Installation</t>
  </si>
  <si>
    <t>Issaac Sherbino</t>
  </si>
  <si>
    <t>Services, Video Edit</t>
  </si>
  <si>
    <t>Maggie Pyke</t>
  </si>
  <si>
    <t>Services, Bartending</t>
  </si>
  <si>
    <t>RBC</t>
  </si>
  <si>
    <t>Equipment Rental, Popcorn Machine</t>
  </si>
  <si>
    <t>Drinks from Pablo</t>
  </si>
  <si>
    <t>Alcohol and Drinks</t>
  </si>
  <si>
    <t>L&amp;M Lights Rental</t>
  </si>
  <si>
    <t>equipment rental, lights (4x 4-head yorkvilles)</t>
  </si>
  <si>
    <t>Wal-mart Grocery</t>
  </si>
  <si>
    <t>Popcorn, drinks</t>
  </si>
  <si>
    <t>UBER CANADA/UBERTRIP</t>
  </si>
  <si>
    <t>Taxicabs/Limousines</t>
  </si>
  <si>
    <t>Public Mobile</t>
  </si>
  <si>
    <t>GENERAL PUBLIC</t>
  </si>
  <si>
    <t>Bernhardt's</t>
  </si>
  <si>
    <t>BERNHARDT'S</t>
  </si>
  <si>
    <t>La Vecchia Restaurant</t>
  </si>
  <si>
    <t>LA VECCHIA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</si>
</sst>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"/>
    <numFmt numFmtId="166" formatCode="h:mm am/p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u/>
      <color rgb="FF0000FF"/>
    </font>
    <font>
      <color theme="1"/>
      <name val="Arial"/>
    </font>
    <font>
      <color rgb="FF1F1F1F"/>
      <name val="Roboto"/>
    </font>
    <font>
      <sz val="12.0"/>
      <color rgb="FF1F1F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E0E0E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164" xfId="0" applyFont="1" applyNumberFormat="1"/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1" fillId="4" fontId="6" numFmtId="0" xfId="0" applyAlignment="1" applyBorder="1" applyFill="1" applyFont="1">
      <alignment horizontal="right" readingOrder="0" shrinkToFit="0" wrapText="0"/>
    </xf>
    <xf borderId="0" fillId="4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1.5"/>
    <col customWidth="1" min="3" max="3" width="21.88"/>
    <col customWidth="1" min="4" max="5" width="12.7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3"/>
      <c r="E3" s="3"/>
    </row>
    <row r="4">
      <c r="A4" s="2" t="s">
        <v>4</v>
      </c>
      <c r="B4" s="2" t="s">
        <v>5</v>
      </c>
      <c r="C4" s="2" t="s">
        <v>6</v>
      </c>
      <c r="D4" s="3"/>
      <c r="E4" s="3"/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>
      <c r="A6" s="2" t="s">
        <v>12</v>
      </c>
      <c r="B6" s="2" t="s">
        <v>13</v>
      </c>
      <c r="C6" s="2" t="s">
        <v>14</v>
      </c>
      <c r="D6" s="3">
        <v>100.0</v>
      </c>
      <c r="E6" s="3">
        <v>100.0</v>
      </c>
    </row>
    <row r="7">
      <c r="A7" s="2" t="s">
        <v>15</v>
      </c>
      <c r="B7" s="2" t="s">
        <v>16</v>
      </c>
      <c r="C7" s="2" t="s">
        <v>17</v>
      </c>
      <c r="D7" s="3">
        <v>100.0</v>
      </c>
      <c r="E7" s="3">
        <v>200.0</v>
      </c>
    </row>
    <row r="8">
      <c r="A8" s="2" t="s">
        <v>4</v>
      </c>
      <c r="B8" s="2" t="s">
        <v>18</v>
      </c>
      <c r="C8" s="2" t="s">
        <v>19</v>
      </c>
      <c r="D8" s="3">
        <v>200.0</v>
      </c>
      <c r="E8" s="3">
        <v>200.0</v>
      </c>
    </row>
    <row r="9">
      <c r="A9" s="2" t="s">
        <v>20</v>
      </c>
      <c r="B9" s="2" t="s">
        <v>21</v>
      </c>
      <c r="C9" s="2" t="s">
        <v>22</v>
      </c>
      <c r="D9" s="3">
        <v>300.0</v>
      </c>
      <c r="E9" s="3">
        <v>300.0</v>
      </c>
    </row>
    <row r="10">
      <c r="A10" s="2" t="s">
        <v>20</v>
      </c>
      <c r="B10" s="2" t="s">
        <v>23</v>
      </c>
      <c r="C10" s="2" t="s">
        <v>22</v>
      </c>
      <c r="D10" s="3">
        <v>100.0</v>
      </c>
      <c r="E10" s="3">
        <v>100.0</v>
      </c>
    </row>
    <row r="11">
      <c r="A11" s="2" t="s">
        <v>20</v>
      </c>
      <c r="B11" s="2" t="s">
        <v>24</v>
      </c>
      <c r="C11" s="2" t="s">
        <v>25</v>
      </c>
      <c r="D11" s="3">
        <v>300.0</v>
      </c>
      <c r="E11" s="3">
        <v>500.0</v>
      </c>
    </row>
    <row r="12">
      <c r="A12" s="2" t="s">
        <v>26</v>
      </c>
      <c r="B12" s="2" t="s">
        <v>27</v>
      </c>
      <c r="C12" s="2" t="s">
        <v>28</v>
      </c>
      <c r="D12" s="3">
        <v>500.0</v>
      </c>
      <c r="E12" s="3">
        <v>500.0</v>
      </c>
    </row>
    <row r="13">
      <c r="A13" s="2" t="s">
        <v>29</v>
      </c>
      <c r="B13" s="2" t="s">
        <v>30</v>
      </c>
      <c r="C13" s="2" t="s">
        <v>31</v>
      </c>
      <c r="D13" s="3">
        <v>100.0</v>
      </c>
      <c r="E13" s="3">
        <v>100.0</v>
      </c>
    </row>
    <row r="14">
      <c r="A14" s="2" t="s">
        <v>29</v>
      </c>
      <c r="B14" s="2" t="s">
        <v>32</v>
      </c>
      <c r="C14" s="2" t="s">
        <v>33</v>
      </c>
      <c r="D14" s="3">
        <v>200.0</v>
      </c>
      <c r="E14" s="3">
        <v>200.0</v>
      </c>
    </row>
    <row r="15">
      <c r="A15" s="2" t="s">
        <v>34</v>
      </c>
      <c r="B15" s="2" t="s">
        <v>35</v>
      </c>
      <c r="C15" s="2" t="s">
        <v>36</v>
      </c>
      <c r="D15" s="3">
        <v>50.0</v>
      </c>
      <c r="E15" s="3">
        <v>100.0</v>
      </c>
    </row>
    <row r="16">
      <c r="D16" s="5"/>
      <c r="E16" s="5"/>
    </row>
    <row r="17">
      <c r="A17" s="2" t="s">
        <v>37</v>
      </c>
      <c r="D17" s="3">
        <f t="shared" ref="D17:E17" si="1">SUM(D3:D15)</f>
        <v>1950</v>
      </c>
      <c r="E17" s="3">
        <f t="shared" si="1"/>
        <v>2300</v>
      </c>
    </row>
    <row r="18">
      <c r="A18" s="2" t="s">
        <v>38</v>
      </c>
      <c r="C18" s="2" t="s">
        <v>39</v>
      </c>
      <c r="D18" s="3">
        <f t="shared" ref="D18:E18" si="2">D17*0.1</f>
        <v>195</v>
      </c>
      <c r="E18" s="3">
        <f t="shared" si="2"/>
        <v>230</v>
      </c>
    </row>
    <row r="19">
      <c r="D19" s="5"/>
      <c r="E19" s="5"/>
    </row>
    <row r="20">
      <c r="A20" s="2" t="s">
        <v>40</v>
      </c>
      <c r="D20" s="3">
        <f>SUM(D17:D18)</f>
        <v>2145</v>
      </c>
      <c r="E20" s="3">
        <f>Sum(E17:E18)</f>
        <v>2530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9.25"/>
    <col customWidth="1" min="6" max="6" width="14.13"/>
    <col customWidth="1" min="7" max="7" width="17.0"/>
    <col customWidth="1" min="9" max="9" width="16.0"/>
  </cols>
  <sheetData>
    <row r="1">
      <c r="A1" s="6" t="s">
        <v>41</v>
      </c>
      <c r="B1" s="7" t="s">
        <v>42</v>
      </c>
      <c r="C1" s="8"/>
      <c r="D1" s="8"/>
      <c r="E1" s="8"/>
      <c r="F1" s="8"/>
      <c r="G1" s="8"/>
      <c r="I1" s="2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43</v>
      </c>
      <c r="G2" s="4" t="s">
        <v>44</v>
      </c>
      <c r="I2" s="2"/>
    </row>
    <row r="3">
      <c r="A3" s="2" t="s">
        <v>1</v>
      </c>
      <c r="B3" s="2" t="s">
        <v>45</v>
      </c>
      <c r="C3" s="2" t="s">
        <v>46</v>
      </c>
      <c r="D3" s="3">
        <v>600.0</v>
      </c>
      <c r="E3" s="3">
        <v>600.0</v>
      </c>
      <c r="F3" s="3">
        <v>678.0</v>
      </c>
      <c r="G3" s="5">
        <f t="shared" ref="G3:G17" si="1">E3-F3</f>
        <v>-78</v>
      </c>
      <c r="I3" s="2"/>
    </row>
    <row r="4">
      <c r="A4" s="2" t="s">
        <v>12</v>
      </c>
      <c r="B4" s="2" t="s">
        <v>13</v>
      </c>
      <c r="C4" s="2" t="s">
        <v>14</v>
      </c>
      <c r="D4" s="3">
        <v>150.0</v>
      </c>
      <c r="E4" s="3">
        <v>150.0</v>
      </c>
      <c r="F4" s="3">
        <v>150.0</v>
      </c>
      <c r="G4" s="5">
        <f t="shared" si="1"/>
        <v>0</v>
      </c>
    </row>
    <row r="5">
      <c r="A5" s="2" t="s">
        <v>15</v>
      </c>
      <c r="B5" s="2" t="s">
        <v>16</v>
      </c>
      <c r="C5" s="2" t="s">
        <v>17</v>
      </c>
      <c r="D5" s="3">
        <v>200.0</v>
      </c>
      <c r="E5" s="3">
        <v>200.0</v>
      </c>
      <c r="F5" s="3">
        <v>313.0</v>
      </c>
      <c r="G5" s="5">
        <f t="shared" si="1"/>
        <v>-113</v>
      </c>
    </row>
    <row r="6">
      <c r="A6" s="2" t="s">
        <v>4</v>
      </c>
      <c r="B6" s="2" t="s">
        <v>18</v>
      </c>
      <c r="C6" s="2" t="s">
        <v>19</v>
      </c>
      <c r="D6" s="3">
        <v>200.0</v>
      </c>
      <c r="E6" s="3">
        <v>200.0</v>
      </c>
      <c r="F6" s="3">
        <v>156.46</v>
      </c>
      <c r="G6" s="5">
        <f t="shared" si="1"/>
        <v>43.54</v>
      </c>
    </row>
    <row r="7">
      <c r="A7" s="2" t="s">
        <v>20</v>
      </c>
      <c r="B7" s="2" t="s">
        <v>21</v>
      </c>
      <c r="C7" s="2" t="s">
        <v>47</v>
      </c>
      <c r="D7" s="3">
        <v>500.0</v>
      </c>
      <c r="E7" s="3">
        <v>500.0</v>
      </c>
      <c r="F7" s="3">
        <v>500.0</v>
      </c>
      <c r="G7" s="5">
        <f t="shared" si="1"/>
        <v>0</v>
      </c>
    </row>
    <row r="8">
      <c r="A8" s="2" t="s">
        <v>20</v>
      </c>
      <c r="B8" s="2" t="s">
        <v>23</v>
      </c>
      <c r="C8" s="2" t="s">
        <v>22</v>
      </c>
      <c r="D8" s="3">
        <v>100.0</v>
      </c>
      <c r="E8" s="3">
        <v>100.0</v>
      </c>
      <c r="F8" s="3">
        <v>0.0</v>
      </c>
      <c r="G8" s="5">
        <f t="shared" si="1"/>
        <v>100</v>
      </c>
    </row>
    <row r="9">
      <c r="A9" s="2" t="s">
        <v>26</v>
      </c>
      <c r="B9" s="2" t="s">
        <v>27</v>
      </c>
      <c r="C9" s="2" t="s">
        <v>28</v>
      </c>
      <c r="D9" s="3">
        <v>500.0</v>
      </c>
      <c r="E9" s="3">
        <v>500.0</v>
      </c>
      <c r="F9" s="3">
        <v>500.0</v>
      </c>
      <c r="G9" s="5">
        <f t="shared" si="1"/>
        <v>0</v>
      </c>
    </row>
    <row r="10">
      <c r="A10" s="2" t="s">
        <v>29</v>
      </c>
      <c r="B10" s="2" t="s">
        <v>30</v>
      </c>
      <c r="C10" s="2" t="s">
        <v>31</v>
      </c>
      <c r="D10" s="3">
        <v>56.0</v>
      </c>
      <c r="E10" s="3">
        <v>56.0</v>
      </c>
      <c r="F10" s="3">
        <v>72.6</v>
      </c>
      <c r="G10" s="5">
        <f t="shared" si="1"/>
        <v>-16.6</v>
      </c>
    </row>
    <row r="11">
      <c r="A11" s="2" t="s">
        <v>29</v>
      </c>
      <c r="B11" s="2" t="s">
        <v>32</v>
      </c>
      <c r="C11" s="2" t="s">
        <v>48</v>
      </c>
      <c r="D11" s="3">
        <v>300.0</v>
      </c>
      <c r="E11" s="3">
        <v>300.0</v>
      </c>
      <c r="F11" s="3">
        <v>300.0</v>
      </c>
      <c r="G11" s="5">
        <f t="shared" si="1"/>
        <v>0</v>
      </c>
    </row>
    <row r="12">
      <c r="A12" s="2" t="s">
        <v>49</v>
      </c>
      <c r="B12" s="2" t="s">
        <v>35</v>
      </c>
      <c r="C12" s="2" t="s">
        <v>36</v>
      </c>
      <c r="D12" s="3">
        <v>50.0</v>
      </c>
      <c r="E12" s="3">
        <v>100.0</v>
      </c>
      <c r="F12" s="9">
        <v>97.4</v>
      </c>
      <c r="G12" s="5">
        <f t="shared" si="1"/>
        <v>2.6</v>
      </c>
    </row>
    <row r="13">
      <c r="A13" s="2" t="s">
        <v>50</v>
      </c>
      <c r="B13" s="2" t="s">
        <v>51</v>
      </c>
      <c r="D13" s="3">
        <v>100.0</v>
      </c>
      <c r="E13" s="3">
        <v>100.0</v>
      </c>
      <c r="F13" s="2">
        <v>107.97</v>
      </c>
      <c r="G13" s="5">
        <f t="shared" si="1"/>
        <v>-7.97</v>
      </c>
    </row>
    <row r="14">
      <c r="A14" s="2" t="s">
        <v>52</v>
      </c>
      <c r="B14" s="2" t="s">
        <v>53</v>
      </c>
      <c r="C14" s="2" t="s">
        <v>54</v>
      </c>
      <c r="D14" s="3">
        <v>70.0</v>
      </c>
      <c r="E14" s="3">
        <v>70.0</v>
      </c>
      <c r="F14" s="3">
        <v>256.9</v>
      </c>
      <c r="G14" s="5">
        <f t="shared" si="1"/>
        <v>-186.9</v>
      </c>
    </row>
    <row r="15">
      <c r="A15" s="2" t="s">
        <v>55</v>
      </c>
      <c r="B15" s="2" t="s">
        <v>56</v>
      </c>
      <c r="C15" s="2" t="s">
        <v>57</v>
      </c>
      <c r="D15" s="5"/>
      <c r="E15" s="5"/>
      <c r="F15" s="3">
        <v>110.0</v>
      </c>
      <c r="G15" s="5">
        <f t="shared" si="1"/>
        <v>-110</v>
      </c>
    </row>
    <row r="16">
      <c r="A16" s="2" t="s">
        <v>58</v>
      </c>
      <c r="D16" s="5"/>
      <c r="E16" s="3">
        <v>100.0</v>
      </c>
      <c r="F16" s="3">
        <v>88.0</v>
      </c>
      <c r="G16" s="5">
        <f t="shared" si="1"/>
        <v>12</v>
      </c>
    </row>
    <row r="17">
      <c r="A17" s="2" t="s">
        <v>59</v>
      </c>
      <c r="E17" s="3">
        <v>100.0</v>
      </c>
      <c r="F17" s="3">
        <v>0.0</v>
      </c>
      <c r="G17" s="5">
        <f t="shared" si="1"/>
        <v>100</v>
      </c>
    </row>
    <row r="19">
      <c r="A19" s="2" t="s">
        <v>37</v>
      </c>
      <c r="D19" s="3">
        <f>SUM(D4:D12)</f>
        <v>2056</v>
      </c>
      <c r="E19" s="3">
        <f t="shared" ref="E19:F19" si="2">SUM(E3:E17)</f>
        <v>3076</v>
      </c>
      <c r="F19" s="5">
        <f t="shared" si="2"/>
        <v>3330.33</v>
      </c>
      <c r="G19" s="5">
        <f>E19-F19</f>
        <v>-254.33</v>
      </c>
    </row>
    <row r="20">
      <c r="A20" s="2" t="s">
        <v>38</v>
      </c>
      <c r="C20" s="2" t="s">
        <v>39</v>
      </c>
      <c r="D20" s="3">
        <f t="shared" ref="D20:E20" si="3">D19*0.1</f>
        <v>205.6</v>
      </c>
      <c r="E20" s="3">
        <f t="shared" si="3"/>
        <v>307.6</v>
      </c>
    </row>
    <row r="21">
      <c r="D21" s="5"/>
      <c r="E21" s="5"/>
    </row>
    <row r="22">
      <c r="A22" s="2" t="s">
        <v>40</v>
      </c>
      <c r="D22" s="3">
        <f>SUM(D19:D20)</f>
        <v>2261.6</v>
      </c>
      <c r="E22" s="3">
        <f>Sum(E19:E20)</f>
        <v>3383.6</v>
      </c>
      <c r="F22" s="5">
        <f>F19</f>
        <v>3330.33</v>
      </c>
    </row>
    <row r="25">
      <c r="A25" s="1" t="s">
        <v>60</v>
      </c>
    </row>
    <row r="26">
      <c r="A26" s="2" t="s">
        <v>61</v>
      </c>
      <c r="B26" s="3">
        <v>940.0</v>
      </c>
    </row>
    <row r="27">
      <c r="A27" s="2" t="s">
        <v>62</v>
      </c>
      <c r="B27" s="3">
        <v>838.0</v>
      </c>
    </row>
    <row r="28">
      <c r="E28" s="3"/>
    </row>
    <row r="29">
      <c r="A29" s="2" t="s">
        <v>63</v>
      </c>
      <c r="B29" s="5">
        <f>SUM(B26:B27)</f>
        <v>1778</v>
      </c>
      <c r="E29" s="3"/>
    </row>
    <row r="30">
      <c r="A30" s="2" t="s">
        <v>64</v>
      </c>
      <c r="B30" s="5">
        <f>B29-F22</f>
        <v>-1552.33</v>
      </c>
    </row>
  </sheetData>
  <hyperlinks>
    <hyperlink display="Transactions" location="'Vol 9 Transactions'!A1" ref="B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9.75"/>
    <col customWidth="1" min="8" max="8" width="23.88"/>
  </cols>
  <sheetData>
    <row r="1">
      <c r="A1" s="10" t="s">
        <v>65</v>
      </c>
      <c r="B1" s="10" t="s">
        <v>66</v>
      </c>
      <c r="C1" s="11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10" t="s">
        <v>72</v>
      </c>
      <c r="I1" s="10" t="s">
        <v>7</v>
      </c>
      <c r="J1" s="10" t="s">
        <v>73</v>
      </c>
      <c r="K1" s="10"/>
      <c r="L1" s="10"/>
      <c r="M1" s="10"/>
    </row>
    <row r="2">
      <c r="A2" s="12">
        <v>46082.0</v>
      </c>
      <c r="B2" s="13">
        <v>0.6333333333333333</v>
      </c>
      <c r="C2" s="11" t="s">
        <v>74</v>
      </c>
      <c r="D2" s="10" t="s">
        <v>75</v>
      </c>
      <c r="E2" s="10" t="s">
        <v>76</v>
      </c>
      <c r="F2" s="10" t="s">
        <v>77</v>
      </c>
      <c r="G2" s="14">
        <v>-22.6</v>
      </c>
      <c r="H2" s="10" t="s">
        <v>78</v>
      </c>
      <c r="I2" s="10" t="s">
        <v>79</v>
      </c>
      <c r="J2" s="10"/>
      <c r="K2" s="10"/>
      <c r="L2" s="10"/>
      <c r="M2" s="10"/>
    </row>
    <row r="3">
      <c r="A3" s="12">
        <v>46081.0</v>
      </c>
      <c r="B3" s="13">
        <v>0.65625</v>
      </c>
      <c r="C3" s="11" t="s">
        <v>74</v>
      </c>
      <c r="D3" s="10" t="s">
        <v>80</v>
      </c>
      <c r="E3" s="10" t="s">
        <v>76</v>
      </c>
      <c r="F3" s="10" t="s">
        <v>77</v>
      </c>
      <c r="G3" s="14">
        <v>-678.0</v>
      </c>
      <c r="H3" s="10" t="s">
        <v>81</v>
      </c>
      <c r="I3" s="10" t="s">
        <v>82</v>
      </c>
      <c r="J3" s="10"/>
      <c r="K3" s="10"/>
      <c r="L3" s="10"/>
      <c r="M3" s="10"/>
    </row>
    <row r="4">
      <c r="A4" s="12">
        <v>46080.0</v>
      </c>
      <c r="B4" s="13">
        <v>0.6611111111111111</v>
      </c>
      <c r="C4" s="11" t="s">
        <v>74</v>
      </c>
      <c r="D4" s="10" t="s">
        <v>83</v>
      </c>
      <c r="E4" s="10" t="s">
        <v>76</v>
      </c>
      <c r="F4" s="10" t="s">
        <v>77</v>
      </c>
      <c r="G4" s="14">
        <v>-37.71</v>
      </c>
      <c r="H4" s="10" t="s">
        <v>84</v>
      </c>
      <c r="I4" s="10" t="s">
        <v>85</v>
      </c>
      <c r="J4" s="10"/>
      <c r="K4" s="10"/>
      <c r="L4" s="10"/>
      <c r="M4" s="10"/>
    </row>
    <row r="5">
      <c r="A5" s="12">
        <v>46080.0</v>
      </c>
      <c r="B5" s="13">
        <v>0.6506944444444445</v>
      </c>
      <c r="C5" s="11" t="s">
        <v>74</v>
      </c>
      <c r="D5" s="10" t="s">
        <v>86</v>
      </c>
      <c r="E5" s="10" t="s">
        <v>76</v>
      </c>
      <c r="F5" s="10" t="s">
        <v>77</v>
      </c>
      <c r="G5" s="14">
        <v>-67.78</v>
      </c>
      <c r="H5" s="10" t="s">
        <v>87</v>
      </c>
      <c r="I5" s="10" t="s">
        <v>88</v>
      </c>
      <c r="J5" s="10"/>
      <c r="K5" s="10"/>
      <c r="L5" s="10"/>
      <c r="M5" s="10"/>
    </row>
    <row r="6">
      <c r="A6" s="12">
        <v>46080.0</v>
      </c>
      <c r="B6" s="13">
        <v>0.5895833333333333</v>
      </c>
      <c r="C6" s="11" t="s">
        <v>74</v>
      </c>
      <c r="D6" s="10" t="s">
        <v>89</v>
      </c>
      <c r="E6" s="10" t="s">
        <v>76</v>
      </c>
      <c r="F6" s="10" t="s">
        <v>77</v>
      </c>
      <c r="G6" s="14">
        <v>-88.9</v>
      </c>
      <c r="H6" s="10" t="s">
        <v>90</v>
      </c>
      <c r="I6" s="10" t="s">
        <v>91</v>
      </c>
      <c r="J6" s="10"/>
      <c r="K6" s="10"/>
      <c r="L6" s="10"/>
      <c r="M6" s="10"/>
    </row>
    <row r="7">
      <c r="A7" s="12">
        <v>46079.0</v>
      </c>
      <c r="B7" s="13">
        <v>0.7388888888888889</v>
      </c>
      <c r="C7" s="11" t="s">
        <v>74</v>
      </c>
      <c r="D7" s="10" t="s">
        <v>92</v>
      </c>
      <c r="E7" s="10" t="s">
        <v>76</v>
      </c>
      <c r="F7" s="10" t="s">
        <v>77</v>
      </c>
      <c r="G7" s="14">
        <v>-50.0</v>
      </c>
      <c r="H7" s="10" t="s">
        <v>93</v>
      </c>
      <c r="I7" s="10" t="s">
        <v>79</v>
      </c>
      <c r="J7" s="10"/>
      <c r="K7" s="10"/>
      <c r="L7" s="10"/>
      <c r="M7" s="10"/>
    </row>
    <row r="8">
      <c r="A8" s="12">
        <v>46071.0</v>
      </c>
      <c r="B8" s="13">
        <v>0.58125</v>
      </c>
      <c r="C8" s="11" t="s">
        <v>74</v>
      </c>
      <c r="D8" s="10" t="s">
        <v>94</v>
      </c>
      <c r="E8" s="10" t="s">
        <v>76</v>
      </c>
      <c r="F8" s="10" t="s">
        <v>77</v>
      </c>
      <c r="G8" s="14">
        <v>-31.44</v>
      </c>
      <c r="H8" s="10" t="s">
        <v>95</v>
      </c>
      <c r="I8" s="10" t="s">
        <v>96</v>
      </c>
      <c r="J8" s="10"/>
      <c r="K8" s="10"/>
      <c r="L8" s="10"/>
      <c r="M8" s="10"/>
    </row>
    <row r="9">
      <c r="A9" s="12">
        <v>46071.0</v>
      </c>
      <c r="B9" s="13">
        <v>0.58125</v>
      </c>
      <c r="C9" s="11" t="s">
        <v>74</v>
      </c>
      <c r="D9" s="10" t="s">
        <v>94</v>
      </c>
      <c r="E9" s="10" t="s">
        <v>76</v>
      </c>
      <c r="F9" s="10" t="s">
        <v>77</v>
      </c>
      <c r="G9" s="14">
        <v>-2.81</v>
      </c>
      <c r="H9" s="10" t="s">
        <v>95</v>
      </c>
      <c r="I9" s="10" t="s">
        <v>96</v>
      </c>
      <c r="J9" s="10"/>
      <c r="K9" s="10"/>
      <c r="L9" s="10"/>
      <c r="M9" s="10"/>
    </row>
    <row r="10">
      <c r="A10" s="12">
        <v>46070.0</v>
      </c>
      <c r="B10" s="13">
        <v>0.8083333333333333</v>
      </c>
      <c r="C10" s="11" t="s">
        <v>74</v>
      </c>
      <c r="D10" s="10" t="s">
        <v>94</v>
      </c>
      <c r="E10" s="10" t="s">
        <v>76</v>
      </c>
      <c r="F10" s="10" t="s">
        <v>77</v>
      </c>
      <c r="G10" s="14">
        <v>-132.42</v>
      </c>
      <c r="H10" s="10" t="s">
        <v>97</v>
      </c>
      <c r="I10" s="10" t="s">
        <v>96</v>
      </c>
      <c r="J10" s="10"/>
      <c r="K10" s="10"/>
      <c r="L10" s="10"/>
      <c r="M10" s="10"/>
    </row>
    <row r="11">
      <c r="A11" s="12">
        <v>46063.0</v>
      </c>
      <c r="B11" s="13">
        <v>0.6027777777777777</v>
      </c>
      <c r="C11" s="11" t="s">
        <v>74</v>
      </c>
      <c r="D11" s="10" t="s">
        <v>98</v>
      </c>
      <c r="E11" s="10" t="s">
        <v>76</v>
      </c>
      <c r="F11" s="10" t="s">
        <v>77</v>
      </c>
      <c r="G11" s="14">
        <v>-150.0</v>
      </c>
      <c r="H11" s="10" t="s">
        <v>99</v>
      </c>
      <c r="I11" s="10" t="s">
        <v>100</v>
      </c>
      <c r="J11" s="10"/>
      <c r="K11" s="10"/>
      <c r="L11" s="10"/>
      <c r="M11" s="10"/>
    </row>
    <row r="12">
      <c r="A12" s="15">
        <v>46081.0</v>
      </c>
      <c r="B12" s="16">
        <v>0.6854166666666667</v>
      </c>
      <c r="C12" s="11" t="s">
        <v>74</v>
      </c>
      <c r="D12" s="2" t="s">
        <v>101</v>
      </c>
      <c r="E12" s="2" t="s">
        <v>102</v>
      </c>
      <c r="F12" s="2" t="s">
        <v>77</v>
      </c>
      <c r="G12" s="2">
        <v>-500.0</v>
      </c>
      <c r="I12" s="2" t="s">
        <v>103</v>
      </c>
    </row>
    <row r="13">
      <c r="A13" s="15">
        <v>46081.0</v>
      </c>
      <c r="B13" s="16">
        <v>0.6770833333333334</v>
      </c>
      <c r="C13" s="11" t="s">
        <v>74</v>
      </c>
      <c r="D13" s="2" t="s">
        <v>104</v>
      </c>
      <c r="E13" s="2" t="s">
        <v>102</v>
      </c>
      <c r="F13" s="2" t="s">
        <v>77</v>
      </c>
      <c r="G13" s="2">
        <v>-500.0</v>
      </c>
      <c r="I13" s="2" t="s">
        <v>105</v>
      </c>
    </row>
    <row r="14">
      <c r="A14" s="15">
        <v>46081.0</v>
      </c>
      <c r="B14" s="16">
        <v>0.6673611111111111</v>
      </c>
      <c r="C14" s="11" t="s">
        <v>74</v>
      </c>
      <c r="D14" s="2" t="s">
        <v>106</v>
      </c>
      <c r="E14" s="2" t="s">
        <v>102</v>
      </c>
      <c r="F14" s="2" t="s">
        <v>77</v>
      </c>
      <c r="G14" s="2">
        <v>-313.0</v>
      </c>
      <c r="I14" s="2" t="s">
        <v>107</v>
      </c>
    </row>
    <row r="15">
      <c r="A15" s="15">
        <v>46081.0</v>
      </c>
      <c r="C15" s="2" t="s">
        <v>108</v>
      </c>
      <c r="D15" s="2" t="s">
        <v>56</v>
      </c>
      <c r="E15" s="10" t="s">
        <v>76</v>
      </c>
      <c r="F15" s="2" t="s">
        <v>77</v>
      </c>
      <c r="G15" s="2">
        <v>-110.0</v>
      </c>
      <c r="I15" s="2" t="s">
        <v>109</v>
      </c>
    </row>
    <row r="16">
      <c r="A16" s="15">
        <v>46081.0</v>
      </c>
      <c r="C16" s="2" t="s">
        <v>108</v>
      </c>
      <c r="D16" s="2" t="s">
        <v>110</v>
      </c>
      <c r="E16" s="10" t="s">
        <v>76</v>
      </c>
      <c r="F16" s="2" t="s">
        <v>77</v>
      </c>
      <c r="G16" s="2">
        <v>-168.0</v>
      </c>
      <c r="I16" s="2" t="s">
        <v>111</v>
      </c>
    </row>
    <row r="17">
      <c r="A17" s="15">
        <v>46081.0</v>
      </c>
      <c r="C17" s="2" t="s">
        <v>108</v>
      </c>
      <c r="D17" s="2" t="s">
        <v>112</v>
      </c>
      <c r="E17" s="10" t="s">
        <v>76</v>
      </c>
      <c r="F17" s="2" t="s">
        <v>77</v>
      </c>
      <c r="G17" s="17">
        <v>-158.2</v>
      </c>
      <c r="I17" s="2" t="s">
        <v>113</v>
      </c>
    </row>
    <row r="18">
      <c r="A18" s="15">
        <v>46081.0</v>
      </c>
      <c r="C18" s="2" t="s">
        <v>108</v>
      </c>
      <c r="D18" s="2" t="s">
        <v>114</v>
      </c>
      <c r="E18" s="10" t="s">
        <v>76</v>
      </c>
      <c r="F18" s="2" t="s">
        <v>77</v>
      </c>
      <c r="G18" s="17">
        <v>-59.69</v>
      </c>
      <c r="I18" s="2" t="s">
        <v>115</v>
      </c>
    </row>
    <row r="19">
      <c r="G19" s="18">
        <f>G7+G2</f>
        <v>-72.6</v>
      </c>
    </row>
    <row r="20">
      <c r="D20" s="19">
        <f>SUM(G4+G18)</f>
        <v>-97.4</v>
      </c>
    </row>
    <row r="22">
      <c r="A22" s="12">
        <v>46074.0</v>
      </c>
      <c r="B22" s="13">
        <v>0.7527777777777778</v>
      </c>
      <c r="C22" s="11" t="s">
        <v>74</v>
      </c>
      <c r="D22" s="10" t="s">
        <v>94</v>
      </c>
      <c r="E22" s="10" t="s">
        <v>76</v>
      </c>
      <c r="F22" s="10" t="s">
        <v>77</v>
      </c>
      <c r="G22" s="14">
        <v>-26.46</v>
      </c>
      <c r="H22" s="10" t="s">
        <v>95</v>
      </c>
      <c r="I22" s="10" t="s">
        <v>96</v>
      </c>
      <c r="J22" s="10"/>
      <c r="K22" s="10"/>
      <c r="L22" s="10"/>
      <c r="M22" s="10"/>
    </row>
    <row r="23">
      <c r="A23" s="12">
        <v>46079.0</v>
      </c>
      <c r="B23" s="13">
        <v>0.7604166666666666</v>
      </c>
      <c r="C23" s="11" t="s">
        <v>74</v>
      </c>
      <c r="D23" s="10" t="s">
        <v>94</v>
      </c>
      <c r="E23" s="10" t="s">
        <v>76</v>
      </c>
      <c r="F23" s="10" t="s">
        <v>77</v>
      </c>
      <c r="G23" s="14">
        <v>-9.14</v>
      </c>
      <c r="H23" s="10" t="s">
        <v>116</v>
      </c>
      <c r="I23" s="10" t="s">
        <v>117</v>
      </c>
      <c r="J23" s="10"/>
      <c r="K23" s="10"/>
      <c r="L23" s="10"/>
      <c r="M23" s="10"/>
    </row>
    <row r="24">
      <c r="A24" s="12">
        <v>46073.0</v>
      </c>
      <c r="B24" s="13">
        <v>0.9708333333333333</v>
      </c>
      <c r="C24" s="11" t="s">
        <v>74</v>
      </c>
      <c r="D24" s="10" t="s">
        <v>118</v>
      </c>
      <c r="E24" s="10" t="s">
        <v>76</v>
      </c>
      <c r="F24" s="10" t="s">
        <v>77</v>
      </c>
      <c r="G24" s="14">
        <v>-178.68</v>
      </c>
      <c r="H24" s="10" t="s">
        <v>119</v>
      </c>
      <c r="I24" s="10" t="s">
        <v>96</v>
      </c>
      <c r="J24" s="10"/>
      <c r="K24" s="10"/>
      <c r="L24" s="10"/>
      <c r="M24" s="10"/>
    </row>
    <row r="25">
      <c r="A25" s="12">
        <v>46063.0</v>
      </c>
      <c r="B25" s="13">
        <v>0.8</v>
      </c>
      <c r="C25" s="11" t="s">
        <v>74</v>
      </c>
      <c r="D25" s="10" t="s">
        <v>120</v>
      </c>
      <c r="E25" s="10" t="s">
        <v>76</v>
      </c>
      <c r="F25" s="10" t="s">
        <v>77</v>
      </c>
      <c r="G25" s="14">
        <v>-160.01</v>
      </c>
      <c r="H25" s="10" t="s">
        <v>121</v>
      </c>
      <c r="I25" s="10" t="s">
        <v>96</v>
      </c>
      <c r="J25" s="10"/>
      <c r="K25" s="10"/>
      <c r="L25" s="10"/>
      <c r="M25" s="10"/>
    </row>
    <row r="26">
      <c r="A26" s="12">
        <v>46076.0</v>
      </c>
      <c r="B26" s="13">
        <v>0.7763888888888889</v>
      </c>
      <c r="C26" s="11" t="s">
        <v>74</v>
      </c>
      <c r="D26" s="10" t="s">
        <v>122</v>
      </c>
      <c r="E26" s="10" t="s">
        <v>76</v>
      </c>
      <c r="F26" s="10" t="s">
        <v>77</v>
      </c>
      <c r="G26" s="14">
        <v>-104.01</v>
      </c>
      <c r="H26" s="10" t="s">
        <v>123</v>
      </c>
      <c r="I26" s="10" t="s">
        <v>96</v>
      </c>
      <c r="J26" s="10"/>
      <c r="K26" s="10"/>
      <c r="L26" s="10"/>
      <c r="M26" s="10"/>
    </row>
    <row r="28">
      <c r="G28" s="19">
        <f>SUM(G22:G26)</f>
        <v>-478.3</v>
      </c>
    </row>
  </sheetData>
  <drawing r:id="rId1"/>
</worksheet>
</file>